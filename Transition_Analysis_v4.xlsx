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endres/Documents/ResearchHome/00_Researchtopics/AA_PhD/02_T1:H1/Research/R_T1H1/01_Output/Transition_Skript/"/>
    </mc:Choice>
  </mc:AlternateContent>
  <xr:revisionPtr revIDLastSave="0" documentId="13_ncr:1_{EB88831F-01FE-C84C-9228-4BD08736D160}" xr6:coauthVersionLast="47" xr6:coauthVersionMax="47" xr10:uidLastSave="{00000000-0000-0000-0000-000000000000}"/>
  <bookViews>
    <workbookView xWindow="-300" yWindow="2960" windowWidth="31160" windowHeight="16340" xr2:uid="{00000000-000D-0000-FFFF-FFFF00000000}"/>
  </bookViews>
  <sheets>
    <sheet name="GLA d18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2" i="1"/>
  <c r="AL3" i="1"/>
  <c r="AL4" i="1"/>
  <c r="AL5" i="1"/>
  <c r="AL6" i="1"/>
  <c r="AL7" i="1"/>
  <c r="AL2" i="1"/>
  <c r="AK3" i="1"/>
  <c r="AK4" i="1"/>
  <c r="AK5" i="1"/>
  <c r="AK6" i="1"/>
  <c r="AK7" i="1"/>
  <c r="AK2" i="1"/>
</calcChain>
</file>

<file path=xl/sharedStrings.xml><?xml version="1.0" encoding="utf-8"?>
<sst xmlns="http://schemas.openxmlformats.org/spreadsheetml/2006/main" count="63" uniqueCount="59">
  <si>
    <t>event_med</t>
  </si>
  <si>
    <t>event</t>
  </si>
  <si>
    <t>event_gra</t>
  </si>
  <si>
    <t>mid_age_author</t>
  </si>
  <si>
    <t>mid_d18O_author</t>
  </si>
  <si>
    <t>start_age_author</t>
  </si>
  <si>
    <t>start_d18O_author</t>
  </si>
  <si>
    <t>end_age_author</t>
  </si>
  <si>
    <t>end_d18O_author</t>
  </si>
  <si>
    <t>duration_author</t>
  </si>
  <si>
    <t>slope_author</t>
  </si>
  <si>
    <t>mid_age_lwr</t>
  </si>
  <si>
    <t>mid_age_med</t>
  </si>
  <si>
    <t>mid_age_upr</t>
  </si>
  <si>
    <t>mid_ka_uncert_neg</t>
  </si>
  <si>
    <t>mid_ka_med</t>
  </si>
  <si>
    <t>mid_ka_uncert_pos</t>
  </si>
  <si>
    <t>mid_d18O_lwr</t>
  </si>
  <si>
    <t>mid_d18O_med</t>
  </si>
  <si>
    <t>mid_d18O_upr</t>
  </si>
  <si>
    <t>start_age_lwr</t>
  </si>
  <si>
    <t>start_age_med</t>
  </si>
  <si>
    <t>start_age_upr</t>
  </si>
  <si>
    <t>end_age_lwr</t>
  </si>
  <si>
    <t>end_age_med</t>
  </si>
  <si>
    <t>end_age_upr</t>
  </si>
  <si>
    <t>duration_lwr</t>
  </si>
  <si>
    <t>duration_med</t>
  </si>
  <si>
    <t>duration_upr</t>
  </si>
  <si>
    <t>slope_lwr</t>
  </si>
  <si>
    <t>slope_med</t>
  </si>
  <si>
    <t>slope_upr</t>
  </si>
  <si>
    <t>depth_lwr</t>
  </si>
  <si>
    <t>depth_upr</t>
  </si>
  <si>
    <t>name</t>
  </si>
  <si>
    <t>23.5k_S</t>
  </si>
  <si>
    <t>23.4k_S</t>
  </si>
  <si>
    <t>23.4k</t>
  </si>
  <si>
    <t>cp0</t>
  </si>
  <si>
    <t>17.9k_S</t>
  </si>
  <si>
    <t>17.8k_S</t>
  </si>
  <si>
    <t>17.8k</t>
  </si>
  <si>
    <t>cp1</t>
  </si>
  <si>
    <t>16.5k_S</t>
  </si>
  <si>
    <t>16.4k_S</t>
  </si>
  <si>
    <t>16.4k</t>
  </si>
  <si>
    <t>cp2</t>
  </si>
  <si>
    <t>16.1k_S</t>
  </si>
  <si>
    <t>16.1k</t>
  </si>
  <si>
    <t>cp3</t>
  </si>
  <si>
    <t>15.2k_S</t>
  </si>
  <si>
    <t>15.3k_S</t>
  </si>
  <si>
    <t>15.3k</t>
  </si>
  <si>
    <t>cp4</t>
  </si>
  <si>
    <t>14.7k_S</t>
  </si>
  <si>
    <t>14.7k</t>
  </si>
  <si>
    <t>cp5</t>
  </si>
  <si>
    <t>dummy</t>
  </si>
  <si>
    <t>mid_age_yr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</si>
</sst>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"/>
  <sheetViews>
    <sheetView tabSelected="1" topLeftCell="Q1" workbookViewId="0">
      <selection activeCell="AM5" sqref="AM5"/>
    </sheetView>
  </sheetViews>
  <sheetFormatPr baseColWidth="10" defaultRowHeight="15" x14ac:dyDescent="0.2"/>
  <cols>
    <col min="5" max="5" width="14.5" customWidth="1"/>
    <col min="14" max="14" width="14" customWidth="1"/>
    <col min="15" max="15" width="24.83203125" customWidth="1"/>
    <col min="17" max="17" width="19.6640625" customWidth="1"/>
    <col min="38" max="38" width="15.83203125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57</v>
      </c>
      <c r="AK1" t="s">
        <v>58</v>
      </c>
      <c r="AL1" t="s">
        <v>14</v>
      </c>
      <c r="AM1" t="s">
        <v>16</v>
      </c>
    </row>
    <row r="2" spans="1:39" x14ac:dyDescent="0.2">
      <c r="A2" t="s">
        <v>35</v>
      </c>
      <c r="B2" t="s">
        <v>36</v>
      </c>
      <c r="C2" t="s">
        <v>37</v>
      </c>
      <c r="D2">
        <v>23.442499999999999</v>
      </c>
      <c r="E2">
        <v>-2.3668283298287398</v>
      </c>
      <c r="F2">
        <v>23.722000000000001</v>
      </c>
      <c r="G2">
        <v>-2.7321006678209399</v>
      </c>
      <c r="H2">
        <v>23.163</v>
      </c>
      <c r="I2">
        <v>-2.0015559918365402</v>
      </c>
      <c r="J2">
        <v>559</v>
      </c>
      <c r="K2">
        <v>1.30687777456959E-3</v>
      </c>
      <c r="L2">
        <v>23.334499999999998</v>
      </c>
      <c r="M2">
        <v>23.467500000000001</v>
      </c>
      <c r="N2">
        <v>24.052062500000002</v>
      </c>
      <c r="O2">
        <v>0.108</v>
      </c>
      <c r="P2">
        <v>23.467500000000001</v>
      </c>
      <c r="Q2">
        <v>0.60956250000000001</v>
      </c>
      <c r="R2">
        <v>-2.5086711334651302</v>
      </c>
      <c r="S2">
        <v>-2.3662053201985098</v>
      </c>
      <c r="T2">
        <v>-2.22723947704096</v>
      </c>
      <c r="U2">
        <v>23.524000000000001</v>
      </c>
      <c r="V2">
        <v>23.766999999999999</v>
      </c>
      <c r="W2">
        <v>24.92905</v>
      </c>
      <c r="X2">
        <v>23.091999999999999</v>
      </c>
      <c r="Y2">
        <v>23.166</v>
      </c>
      <c r="Z2">
        <v>23.236000000000001</v>
      </c>
      <c r="AA2">
        <v>344</v>
      </c>
      <c r="AB2">
        <v>605</v>
      </c>
      <c r="AC2">
        <v>1757.0250000000001</v>
      </c>
      <c r="AD2">
        <v>3.7046192251468703E-4</v>
      </c>
      <c r="AE2">
        <v>1.1684436501280899E-3</v>
      </c>
      <c r="AF2">
        <v>2.3818391799748902E-3</v>
      </c>
      <c r="AG2">
        <v>37.200000000000003</v>
      </c>
      <c r="AH2">
        <v>39.200000000000003</v>
      </c>
      <c r="AI2" t="s">
        <v>38</v>
      </c>
      <c r="AJ2">
        <v>1</v>
      </c>
      <c r="AK2">
        <f>D2*1000</f>
        <v>23442.5</v>
      </c>
      <c r="AL2">
        <f>O2*1000</f>
        <v>108</v>
      </c>
      <c r="AM2">
        <f>Q2*1000</f>
        <v>609.5625</v>
      </c>
    </row>
    <row r="3" spans="1:39" x14ac:dyDescent="0.2">
      <c r="A3" t="s">
        <v>39</v>
      </c>
      <c r="B3" t="s">
        <v>40</v>
      </c>
      <c r="C3" t="s">
        <v>41</v>
      </c>
      <c r="D3">
        <v>17.842500000000001</v>
      </c>
      <c r="E3">
        <v>-2.97</v>
      </c>
      <c r="F3">
        <v>17.998999999999999</v>
      </c>
      <c r="G3">
        <v>-2.58</v>
      </c>
      <c r="H3">
        <v>17.686</v>
      </c>
      <c r="I3">
        <v>-3.36</v>
      </c>
      <c r="J3">
        <v>313</v>
      </c>
      <c r="K3">
        <v>-2.4920127795527102E-3</v>
      </c>
      <c r="L3">
        <v>17.821999999999999</v>
      </c>
      <c r="M3">
        <v>17.920000000000002</v>
      </c>
      <c r="N3">
        <v>18.030999999999999</v>
      </c>
      <c r="O3">
        <v>2.0500000000000001E-2</v>
      </c>
      <c r="P3">
        <v>17.920000000000002</v>
      </c>
      <c r="Q3">
        <v>0.1885</v>
      </c>
      <c r="R3">
        <v>-3.1058300944954498</v>
      </c>
      <c r="S3">
        <v>-2.97212842703208</v>
      </c>
      <c r="T3">
        <v>-2.8286966532057001</v>
      </c>
      <c r="U3">
        <v>17.992000000000001</v>
      </c>
      <c r="V3">
        <v>18.071000000000002</v>
      </c>
      <c r="W3">
        <v>18.150024999999999</v>
      </c>
      <c r="X3">
        <v>17.603974999999998</v>
      </c>
      <c r="Y3">
        <v>17.763999999999999</v>
      </c>
      <c r="Z3">
        <v>17.963999999999999</v>
      </c>
      <c r="AA3">
        <v>108</v>
      </c>
      <c r="AB3">
        <v>304</v>
      </c>
      <c r="AC3">
        <v>473.02499999999998</v>
      </c>
      <c r="AD3">
        <v>-7.2746751400579804E-3</v>
      </c>
      <c r="AE3">
        <v>-2.60758566334737E-3</v>
      </c>
      <c r="AF3">
        <v>-1.39887180139293E-3</v>
      </c>
      <c r="AG3">
        <v>20.2</v>
      </c>
      <c r="AH3">
        <v>20.95</v>
      </c>
      <c r="AI3" t="s">
        <v>42</v>
      </c>
      <c r="AJ3">
        <v>1</v>
      </c>
      <c r="AK3">
        <f t="shared" ref="AK3:AK7" si="0">D3*1000</f>
        <v>17842.5</v>
      </c>
      <c r="AL3">
        <f t="shared" ref="AL3:AL7" si="1">O3*1000</f>
        <v>20.5</v>
      </c>
      <c r="AM3">
        <f t="shared" ref="AM3:AM7" si="2">Q3*1000</f>
        <v>188.5</v>
      </c>
    </row>
    <row r="4" spans="1:39" x14ac:dyDescent="0.2">
      <c r="A4" t="s">
        <v>43</v>
      </c>
      <c r="B4" t="s">
        <v>44</v>
      </c>
      <c r="C4" t="s">
        <v>45</v>
      </c>
      <c r="D4">
        <v>16.443999999999999</v>
      </c>
      <c r="E4">
        <v>-3.41</v>
      </c>
      <c r="F4">
        <v>16.478000000000002</v>
      </c>
      <c r="G4">
        <v>-3.15</v>
      </c>
      <c r="H4">
        <v>16.41</v>
      </c>
      <c r="I4">
        <v>-3.67</v>
      </c>
      <c r="J4">
        <v>68</v>
      </c>
      <c r="K4">
        <v>-7.6470588235294096E-3</v>
      </c>
      <c r="L4">
        <v>16.156974999999999</v>
      </c>
      <c r="M4">
        <v>16.472000000000001</v>
      </c>
      <c r="N4">
        <v>16.550012500000001</v>
      </c>
      <c r="O4">
        <v>0.28702499999999997</v>
      </c>
      <c r="P4">
        <v>16.472000000000001</v>
      </c>
      <c r="Q4">
        <v>0.10601250000000099</v>
      </c>
      <c r="R4">
        <v>-3.5490737604570102</v>
      </c>
      <c r="S4">
        <v>-3.4116278983370099</v>
      </c>
      <c r="T4">
        <v>-3.2728771663516301</v>
      </c>
      <c r="U4">
        <v>16.212</v>
      </c>
      <c r="V4">
        <v>16.504999999999999</v>
      </c>
      <c r="W4">
        <v>16.576025000000001</v>
      </c>
      <c r="X4">
        <v>16.097000000000001</v>
      </c>
      <c r="Y4">
        <v>16.437999999999999</v>
      </c>
      <c r="Z4">
        <v>16.53</v>
      </c>
      <c r="AA4">
        <v>22</v>
      </c>
      <c r="AB4">
        <v>68</v>
      </c>
      <c r="AC4">
        <v>200</v>
      </c>
      <c r="AD4">
        <v>-2.6248274005961698E-2</v>
      </c>
      <c r="AE4">
        <v>-7.7743436077000998E-3</v>
      </c>
      <c r="AF4">
        <v>-2.29136105061689E-3</v>
      </c>
      <c r="AG4">
        <v>15.35</v>
      </c>
      <c r="AH4">
        <v>15.5</v>
      </c>
      <c r="AI4" t="s">
        <v>46</v>
      </c>
      <c r="AJ4">
        <v>1</v>
      </c>
      <c r="AK4">
        <f t="shared" si="0"/>
        <v>16444</v>
      </c>
      <c r="AL4">
        <f t="shared" si="1"/>
        <v>287.02499999999998</v>
      </c>
      <c r="AM4">
        <f t="shared" si="2"/>
        <v>106.012500000001</v>
      </c>
    </row>
    <row r="5" spans="1:39" x14ac:dyDescent="0.2">
      <c r="A5" t="s">
        <v>47</v>
      </c>
      <c r="B5" t="s">
        <v>47</v>
      </c>
      <c r="C5" t="s">
        <v>48</v>
      </c>
      <c r="D5">
        <v>16.068999999999999</v>
      </c>
      <c r="E5">
        <v>-3.74000000000001</v>
      </c>
      <c r="F5">
        <v>16.137</v>
      </c>
      <c r="G5">
        <v>-3.33</v>
      </c>
      <c r="H5">
        <v>16.001000000000001</v>
      </c>
      <c r="I5">
        <v>-4.1500000000000004</v>
      </c>
      <c r="J5">
        <v>135.99999999999801</v>
      </c>
      <c r="K5">
        <v>-6.0294117647059697E-3</v>
      </c>
      <c r="L5">
        <v>15.902487499999999</v>
      </c>
      <c r="M5">
        <v>16.097999999999999</v>
      </c>
      <c r="N5">
        <v>16.376999999999999</v>
      </c>
      <c r="O5">
        <v>0.16651250000000101</v>
      </c>
      <c r="P5">
        <v>16.097999999999999</v>
      </c>
      <c r="Q5">
        <v>0.308</v>
      </c>
      <c r="R5">
        <v>-3.8747843412312899</v>
      </c>
      <c r="S5">
        <v>-3.7400640530467899</v>
      </c>
      <c r="T5">
        <v>-3.6017275013297301</v>
      </c>
      <c r="U5">
        <v>15.930975</v>
      </c>
      <c r="V5">
        <v>16.167000000000002</v>
      </c>
      <c r="W5">
        <v>16.414999999999999</v>
      </c>
      <c r="X5">
        <v>15.872999999999999</v>
      </c>
      <c r="Y5">
        <v>16.029</v>
      </c>
      <c r="Z5">
        <v>16.347000000000001</v>
      </c>
      <c r="AA5">
        <v>37.974999999998197</v>
      </c>
      <c r="AB5">
        <v>131</v>
      </c>
      <c r="AC5">
        <v>181</v>
      </c>
      <c r="AD5">
        <v>-2.2533925485166001E-2</v>
      </c>
      <c r="AE5">
        <v>-6.55440893901301E-3</v>
      </c>
      <c r="AF5">
        <v>-3.72462117012826E-3</v>
      </c>
      <c r="AG5">
        <v>14.45</v>
      </c>
      <c r="AH5">
        <v>14.75</v>
      </c>
      <c r="AI5" t="s">
        <v>49</v>
      </c>
      <c r="AJ5">
        <v>1</v>
      </c>
      <c r="AK5">
        <f t="shared" si="0"/>
        <v>16068.999999999998</v>
      </c>
      <c r="AL5">
        <f t="shared" si="1"/>
        <v>166.51250000000101</v>
      </c>
      <c r="AM5">
        <f t="shared" si="2"/>
        <v>308</v>
      </c>
    </row>
    <row r="6" spans="1:39" x14ac:dyDescent="0.2">
      <c r="A6" t="s">
        <v>50</v>
      </c>
      <c r="B6" t="s">
        <v>51</v>
      </c>
      <c r="C6" t="s">
        <v>52</v>
      </c>
      <c r="D6">
        <v>15.2705</v>
      </c>
      <c r="E6">
        <v>-3.9550000000000098</v>
      </c>
      <c r="F6">
        <v>15.381</v>
      </c>
      <c r="G6">
        <v>-3.52</v>
      </c>
      <c r="H6">
        <v>15.16</v>
      </c>
      <c r="I6">
        <v>-4.3899999999999997</v>
      </c>
      <c r="J6">
        <v>221</v>
      </c>
      <c r="K6">
        <v>-3.9366515837104101E-3</v>
      </c>
      <c r="L6">
        <v>15.1465</v>
      </c>
      <c r="M6">
        <v>15.249499999999999</v>
      </c>
      <c r="N6">
        <v>15.3590125</v>
      </c>
      <c r="O6">
        <v>0.124</v>
      </c>
      <c r="P6">
        <v>15.249499999999999</v>
      </c>
      <c r="Q6">
        <v>8.8512500000000702E-2</v>
      </c>
      <c r="R6">
        <v>-4.0943732286939696</v>
      </c>
      <c r="S6">
        <v>-3.9565082970401702</v>
      </c>
      <c r="T6">
        <v>-3.8183844346950901</v>
      </c>
      <c r="U6">
        <v>15.303000000000001</v>
      </c>
      <c r="V6">
        <v>15.391</v>
      </c>
      <c r="W6">
        <v>15.518025</v>
      </c>
      <c r="X6">
        <v>14.922000000000001</v>
      </c>
      <c r="Y6">
        <v>15.105</v>
      </c>
      <c r="Z6">
        <v>15.271000000000001</v>
      </c>
      <c r="AA6">
        <v>122.97499999999999</v>
      </c>
      <c r="AB6">
        <v>285</v>
      </c>
      <c r="AC6">
        <v>492</v>
      </c>
      <c r="AD6">
        <v>-7.3034068759537099E-3</v>
      </c>
      <c r="AE6">
        <v>-3.0390684314064698E-3</v>
      </c>
      <c r="AF6">
        <v>-1.6077660452631501E-3</v>
      </c>
      <c r="AG6">
        <v>12.2</v>
      </c>
      <c r="AH6">
        <v>12.8</v>
      </c>
      <c r="AI6" t="s">
        <v>53</v>
      </c>
      <c r="AJ6">
        <v>1</v>
      </c>
      <c r="AK6">
        <f t="shared" si="0"/>
        <v>15270.5</v>
      </c>
      <c r="AL6">
        <f t="shared" si="1"/>
        <v>124</v>
      </c>
      <c r="AM6">
        <f t="shared" si="2"/>
        <v>88.512500000000699</v>
      </c>
    </row>
    <row r="7" spans="1:39" x14ac:dyDescent="0.2">
      <c r="A7" t="s">
        <v>54</v>
      </c>
      <c r="B7" t="s">
        <v>54</v>
      </c>
      <c r="C7" t="s">
        <v>55</v>
      </c>
      <c r="D7">
        <v>14.6815</v>
      </c>
      <c r="E7">
        <v>-3.3750000000000102</v>
      </c>
      <c r="F7">
        <v>14.738</v>
      </c>
      <c r="G7">
        <v>-3.71</v>
      </c>
      <c r="H7">
        <v>14.625</v>
      </c>
      <c r="I7">
        <v>-3.04</v>
      </c>
      <c r="J7">
        <v>113</v>
      </c>
      <c r="K7">
        <v>5.9292035398230102E-3</v>
      </c>
      <c r="L7">
        <v>14.545937500000001</v>
      </c>
      <c r="M7">
        <v>14.702999999999999</v>
      </c>
      <c r="N7">
        <v>14.813000000000001</v>
      </c>
      <c r="O7">
        <v>0.1355625</v>
      </c>
      <c r="P7">
        <v>14.702999999999999</v>
      </c>
      <c r="Q7">
        <v>0.13150000000000001</v>
      </c>
      <c r="R7">
        <v>-3.5163480469990702</v>
      </c>
      <c r="S7">
        <v>-3.3746582941944201</v>
      </c>
      <c r="T7">
        <v>-3.24091750968641</v>
      </c>
      <c r="U7">
        <v>14.585000000000001</v>
      </c>
      <c r="V7">
        <v>14.760999999999999</v>
      </c>
      <c r="W7">
        <v>14.864000000000001</v>
      </c>
      <c r="X7">
        <v>14.487975</v>
      </c>
      <c r="Y7">
        <v>14.644</v>
      </c>
      <c r="Z7">
        <v>14.778</v>
      </c>
      <c r="AA7">
        <v>39</v>
      </c>
      <c r="AB7">
        <v>117</v>
      </c>
      <c r="AC7">
        <v>185</v>
      </c>
      <c r="AD7">
        <v>2.8954219034902301E-3</v>
      </c>
      <c r="AE7">
        <v>5.8069685184500902E-3</v>
      </c>
      <c r="AF7">
        <v>1.8363426764520099E-2</v>
      </c>
      <c r="AG7">
        <v>11.1</v>
      </c>
      <c r="AH7">
        <v>11.45</v>
      </c>
      <c r="AI7" t="s">
        <v>56</v>
      </c>
      <c r="AJ7">
        <v>1</v>
      </c>
      <c r="AK7">
        <f t="shared" si="0"/>
        <v>14681.5</v>
      </c>
      <c r="AL7">
        <f t="shared" si="1"/>
        <v>135.5625</v>
      </c>
      <c r="AM7">
        <f t="shared" si="2"/>
        <v>131.5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 d18O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lendres</dc:creator>
  <cp:lastModifiedBy>Endres  Laura</cp:lastModifiedBy>
  <dcterms:created xsi:type="dcterms:W3CDTF">2026-03-11T17:59:41Z</dcterms:created>
  <dcterms:modified xsi:type="dcterms:W3CDTF">2026-03-13T17:07:00Z</dcterms:modified>
</cp:coreProperties>
</file>